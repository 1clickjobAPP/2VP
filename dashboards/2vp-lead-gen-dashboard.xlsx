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te Card" sheetId="2" state="visible" r:id="rId2"/>
    <sheet name="Weekly Tracker" sheetId="3" state="visible" r:id="rId3"/>
    <sheet name="Weekly Summary" sheetId="4" state="visible" r:id="rId4"/>
    <sheet name="Monthly Roll-up" sheetId="5" state="visible" r:id="rId5"/>
    <sheet name="Links &amp; Credent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.00"/>
    <numFmt numFmtId="165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i val="1"/>
      <color rgb="007F8C8D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9A961"/>
      </patternFill>
    </fill>
    <fill>
      <patternFill patternType="solid">
        <fgColor rgb="00F4F1EA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0" pivotButton="0" quotePrefix="0" xfId="0"/>
    <xf numFmtId="0" fontId="6" fillId="0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2VP — Lead Generation KPI Dashboard</t>
        </is>
      </c>
    </row>
    <row r="3" ht="22" customHeight="1">
      <c r="A3" s="2" t="inlineStr">
        <is>
          <t>How this workbook is organised</t>
        </is>
      </c>
    </row>
    <row r="4" ht="18" customHeight="1">
      <c r="A4" s="3" t="inlineStr">
        <is>
          <t>1. Rate Card — set the £ price for each deliverable type. Edit once, applies everywhere.</t>
        </is>
      </c>
    </row>
    <row r="5" ht="18" customHeight="1">
      <c r="A5" s="3" t="inlineStr">
        <is>
          <t>2. Weekly Tracker — Lilia logs each deliverable as it goes live. One row per item.</t>
        </is>
      </c>
    </row>
    <row r="6" ht="18" customHeight="1">
      <c r="A6" s="3" t="inlineStr">
        <is>
          <t>3. Weekly Summary — auto-totals submitted, approved, rejected, and payable amount.</t>
        </is>
      </c>
    </row>
    <row r="7" ht="18" customHeight="1">
      <c r="A7" s="3" t="inlineStr">
        <is>
          <t>4. Monthly Roll-up — week-by-week totals to spot trends and compare months.</t>
        </is>
      </c>
    </row>
    <row r="8" ht="18" customHeight="1">
      <c r="A8" s="3" t="inlineStr">
        <is>
          <t>5. Links &amp; Credentials — accounts, profile URLs, login info (see security warning).</t>
        </is>
      </c>
    </row>
    <row r="9" ht="18" customHeight="1">
      <c r="A9" s="4" t="inlineStr"/>
    </row>
    <row r="10" ht="22" customHeight="1">
      <c r="A10" s="2" t="inlineStr">
        <is>
          <t>Workflow</t>
        </is>
      </c>
    </row>
    <row r="11" ht="18" customHeight="1">
      <c r="A11" s="3" t="inlineStr">
        <is>
          <t>Mon–Sun: Lilia logs every published item in Weekly Tracker (date, type, link).</t>
        </is>
      </c>
    </row>
    <row r="12" ht="18" customHeight="1">
      <c r="A12" s="3" t="inlineStr">
        <is>
          <t>Friday 17:00: Lilia closes the week. Director reviews each row, marks Approved Y/N.</t>
        </is>
      </c>
    </row>
    <row r="13" ht="18" customHeight="1">
      <c r="A13" s="3" t="inlineStr">
        <is>
          <t>Saturday: Director confirms Total Payable on the Weekly Summary tab. Payment released.</t>
        </is>
      </c>
    </row>
    <row r="14" ht="18" customHeight="1">
      <c r="A14" s="4" t="inlineStr"/>
    </row>
    <row r="15" ht="22" customHeight="1">
      <c r="A15" s="2" t="inlineStr">
        <is>
          <t>Counting rules</t>
        </is>
      </c>
    </row>
    <row r="16" ht="18" customHeight="1">
      <c r="A16" s="3" t="inlineStr">
        <is>
          <t>Item only paid if: published &amp; live, logged here, original (not duplicate), on-brand.</t>
        </is>
      </c>
    </row>
    <row r="17" ht="18" customHeight="1">
      <c r="A17" s="3" t="inlineStr">
        <is>
          <t>Cross-posting same content (e.g. IG reel reused on FB) = 1 item unless re-edited per platform.</t>
        </is>
      </c>
    </row>
    <row r="18" ht="18" customHeight="1">
      <c r="A18" s="4" t="inlineStr"/>
    </row>
    <row r="19" ht="22" customHeight="1">
      <c r="A19" s="5" t="inlineStr">
        <is>
          <t>SECURITY WARNING — Credentials sheet</t>
        </is>
      </c>
    </row>
    <row r="20" ht="18" customHeight="1">
      <c r="A20" s="6" t="inlineStr">
        <is>
          <t>Do NOT commit real passwords to git. Keep filled copies of this file off the repo.</t>
        </is>
      </c>
    </row>
    <row r="21" ht="18" customHeight="1">
      <c r="A21" s="3" t="inlineStr">
        <is>
          <t>For real credential storage use 1Password / Bitwarden / Google Password Manager.</t>
        </is>
      </c>
    </row>
    <row r="22" ht="18" customHeight="1">
      <c r="A22" s="3" t="inlineStr">
        <is>
          <t>This sheet is a TEMPLATE only — leave the password column blank in any committed copy.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</cols>
  <sheetData>
    <row r="1" ht="30" customHeight="1">
      <c r="A1" s="1" t="inlineStr">
        <is>
          <t>Rate Card — set £ rate per deliverable</t>
        </is>
      </c>
    </row>
    <row r="2" ht="22" customHeight="1">
      <c r="A2" s="7" t="inlineStr">
        <is>
          <t>Key</t>
        </is>
      </c>
      <c r="B2" s="7" t="inlineStr">
        <is>
          <t>Item</t>
        </is>
      </c>
      <c r="C2" s="7" t="inlineStr">
        <is>
          <t>Platform</t>
        </is>
      </c>
      <c r="D2" s="7" t="inlineStr">
        <is>
          <t>Rate (£)</t>
        </is>
      </c>
    </row>
    <row r="3">
      <c r="A3" s="8" t="inlineStr">
        <is>
          <t>IG-POST</t>
        </is>
      </c>
      <c r="B3" s="9" t="inlineStr">
        <is>
          <t>Post</t>
        </is>
      </c>
      <c r="C3" s="9" t="inlineStr">
        <is>
          <t>Instagram</t>
        </is>
      </c>
      <c r="D3" s="10" t="n"/>
    </row>
    <row r="4">
      <c r="A4" s="8" t="inlineStr">
        <is>
          <t>IG-REEL</t>
        </is>
      </c>
      <c r="B4" s="9" t="inlineStr">
        <is>
          <t>Reel</t>
        </is>
      </c>
      <c r="C4" s="9" t="inlineStr">
        <is>
          <t>Instagram</t>
        </is>
      </c>
      <c r="D4" s="10" t="n"/>
    </row>
    <row r="5">
      <c r="A5" s="8" t="inlineStr">
        <is>
          <t>IG-STORY</t>
        </is>
      </c>
      <c r="B5" s="9" t="inlineStr">
        <is>
          <t>Stories set</t>
        </is>
      </c>
      <c r="C5" s="9" t="inlineStr">
        <is>
          <t>Instagram</t>
        </is>
      </c>
      <c r="D5" s="10" t="n"/>
    </row>
    <row r="6">
      <c r="A6" s="8" t="inlineStr">
        <is>
          <t>FB-POST</t>
        </is>
      </c>
      <c r="B6" s="9" t="inlineStr">
        <is>
          <t>Post</t>
        </is>
      </c>
      <c r="C6" s="9" t="inlineStr">
        <is>
          <t>Facebook</t>
        </is>
      </c>
      <c r="D6" s="10" t="n"/>
    </row>
    <row r="7">
      <c r="A7" s="8" t="inlineStr">
        <is>
          <t>FB-REEL</t>
        </is>
      </c>
      <c r="B7" s="9" t="inlineStr">
        <is>
          <t>Reel</t>
        </is>
      </c>
      <c r="C7" s="9" t="inlineStr">
        <is>
          <t>Facebook</t>
        </is>
      </c>
      <c r="D7" s="10" t="n"/>
    </row>
    <row r="8">
      <c r="A8" s="8" t="inlineStr">
        <is>
          <t>FB-STORY</t>
        </is>
      </c>
      <c r="B8" s="9" t="inlineStr">
        <is>
          <t>Stories set</t>
        </is>
      </c>
      <c r="C8" s="9" t="inlineStr">
        <is>
          <t>Facebook</t>
        </is>
      </c>
      <c r="D8" s="10" t="n"/>
    </row>
    <row r="9">
      <c r="A9" s="8" t="inlineStr">
        <is>
          <t>TT-VIDEO</t>
        </is>
      </c>
      <c r="B9" s="9" t="inlineStr">
        <is>
          <t>Video</t>
        </is>
      </c>
      <c r="C9" s="9" t="inlineStr">
        <is>
          <t>TikTok</t>
        </is>
      </c>
      <c r="D9" s="10" t="n"/>
    </row>
    <row r="10">
      <c r="A10" s="8" t="inlineStr">
        <is>
          <t>GMB-POST</t>
        </is>
      </c>
      <c r="B10" s="9" t="inlineStr">
        <is>
          <t>GMB Post (per location)</t>
        </is>
      </c>
      <c r="C10" s="9" t="inlineStr">
        <is>
          <t>Google My Business</t>
        </is>
      </c>
      <c r="D10" s="10" t="n"/>
    </row>
    <row r="11">
      <c r="A11" s="8" t="inlineStr">
        <is>
          <t>LP</t>
        </is>
      </c>
      <c r="B11" s="9" t="inlineStr">
        <is>
          <t>Landing Page (location + service)</t>
        </is>
      </c>
      <c r="C11" s="9" t="inlineStr">
        <is>
          <t>Website</t>
        </is>
      </c>
      <c r="D11" s="10" t="n"/>
    </row>
    <row r="13">
      <c r="A13" s="11" t="inlineStr">
        <is>
          <t>Edit Rate (£) column only. Keys are referenced by the Weekly Tracker.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2" customWidth="1" min="4" max="4"/>
    <col width="22" customWidth="1" min="5" max="5"/>
    <col width="42" customWidth="1" min="6" max="6"/>
    <col width="12" customWidth="1" min="7" max="7"/>
    <col width="12" customWidth="1" min="8" max="8"/>
    <col width="12" customWidth="1" min="9" max="9"/>
    <col width="30" customWidth="1" min="10" max="10"/>
  </cols>
  <sheetData>
    <row r="1" ht="30" customHeight="1">
      <c r="A1" s="1" t="inlineStr">
        <is>
          <t>Weekly Tracker — log every published deliverable</t>
        </is>
      </c>
    </row>
    <row r="2">
      <c r="A2" s="12" t="inlineStr">
        <is>
          <t>Week starting (Mon):</t>
        </is>
      </c>
      <c r="B2" s="13" t="inlineStr"/>
    </row>
    <row r="4" ht="22" customHeight="1">
      <c r="A4" s="7" t="inlineStr">
        <is>
          <t>Date</t>
        </is>
      </c>
      <c r="B4" s="7" t="inlineStr">
        <is>
          <t>Day</t>
        </is>
      </c>
      <c r="C4" s="7" t="inlineStr">
        <is>
          <t>Key</t>
        </is>
      </c>
      <c r="D4" s="7" t="inlineStr">
        <is>
          <t>Item (auto)</t>
        </is>
      </c>
      <c r="E4" s="7" t="inlineStr">
        <is>
          <t>Platform (auto)</t>
        </is>
      </c>
      <c r="F4" s="7" t="inlineStr">
        <is>
          <t>Link / Proof</t>
        </is>
      </c>
      <c r="G4" s="7" t="inlineStr">
        <is>
          <t>Rate £ (auto)</t>
        </is>
      </c>
      <c r="H4" s="7" t="inlineStr">
        <is>
          <t>Approved Y/N</t>
        </is>
      </c>
      <c r="I4" s="7" t="inlineStr">
        <is>
          <t>Pays £</t>
        </is>
      </c>
      <c r="J4" s="7" t="inlineStr">
        <is>
          <t>Notes</t>
        </is>
      </c>
    </row>
    <row r="5">
      <c r="A5" s="14" t="n"/>
      <c r="B5" s="15">
        <f>IF(A5="","",TEXT(A5,"ddd"))</f>
        <v/>
      </c>
      <c r="C5" s="16" t="n"/>
      <c r="D5" s="9">
        <f>IFERROR(IF(C5="","",VLOOKUP(C5,'Rate Card'!A:D,2,FALSE)),"")</f>
        <v/>
      </c>
      <c r="E5" s="9">
        <f>IFERROR(IF(C5="","",VLOOKUP(C5,'Rate Card'!A:D,3,FALSE)),"")</f>
        <v/>
      </c>
      <c r="F5" s="9" t="n"/>
      <c r="G5" s="17">
        <f>IFERROR(IF(C5="","",VLOOKUP(C5,'Rate Card'!A:D,4,FALSE)),"")</f>
        <v/>
      </c>
      <c r="H5" s="16" t="n"/>
      <c r="I5" s="17">
        <f>IF(AND(UPPER(H5)="Y",ISNUMBER(G5)),G5,0)</f>
        <v/>
      </c>
      <c r="J5" s="9" t="n"/>
    </row>
    <row r="6">
      <c r="A6" s="14" t="n"/>
      <c r="B6" s="15">
        <f>IF(A6="","",TEXT(A6,"ddd"))</f>
        <v/>
      </c>
      <c r="C6" s="16" t="n"/>
      <c r="D6" s="9">
        <f>IFERROR(IF(C6="","",VLOOKUP(C6,'Rate Card'!A:D,2,FALSE)),"")</f>
        <v/>
      </c>
      <c r="E6" s="9">
        <f>IFERROR(IF(C6="","",VLOOKUP(C6,'Rate Card'!A:D,3,FALSE)),"")</f>
        <v/>
      </c>
      <c r="F6" s="9" t="n"/>
      <c r="G6" s="17">
        <f>IFERROR(IF(C6="","",VLOOKUP(C6,'Rate Card'!A:D,4,FALSE)),"")</f>
        <v/>
      </c>
      <c r="H6" s="16" t="n"/>
      <c r="I6" s="17">
        <f>IF(AND(UPPER(H6)="Y",ISNUMBER(G6)),G6,0)</f>
        <v/>
      </c>
      <c r="J6" s="9" t="n"/>
    </row>
    <row r="7">
      <c r="A7" s="14" t="n"/>
      <c r="B7" s="15">
        <f>IF(A7="","",TEXT(A7,"ddd"))</f>
        <v/>
      </c>
      <c r="C7" s="16" t="n"/>
      <c r="D7" s="9">
        <f>IFERROR(IF(C7="","",VLOOKUP(C7,'Rate Card'!A:D,2,FALSE)),"")</f>
        <v/>
      </c>
      <c r="E7" s="9">
        <f>IFERROR(IF(C7="","",VLOOKUP(C7,'Rate Card'!A:D,3,FALSE)),"")</f>
        <v/>
      </c>
      <c r="F7" s="9" t="n"/>
      <c r="G7" s="17">
        <f>IFERROR(IF(C7="","",VLOOKUP(C7,'Rate Card'!A:D,4,FALSE)),"")</f>
        <v/>
      </c>
      <c r="H7" s="16" t="n"/>
      <c r="I7" s="17">
        <f>IF(AND(UPPER(H7)="Y",ISNUMBER(G7)),G7,0)</f>
        <v/>
      </c>
      <c r="J7" s="9" t="n"/>
    </row>
    <row r="8">
      <c r="A8" s="14" t="n"/>
      <c r="B8" s="15">
        <f>IF(A8="","",TEXT(A8,"ddd"))</f>
        <v/>
      </c>
      <c r="C8" s="16" t="n"/>
      <c r="D8" s="9">
        <f>IFERROR(IF(C8="","",VLOOKUP(C8,'Rate Card'!A:D,2,FALSE)),"")</f>
        <v/>
      </c>
      <c r="E8" s="9">
        <f>IFERROR(IF(C8="","",VLOOKUP(C8,'Rate Card'!A:D,3,FALSE)),"")</f>
        <v/>
      </c>
      <c r="F8" s="9" t="n"/>
      <c r="G8" s="17">
        <f>IFERROR(IF(C8="","",VLOOKUP(C8,'Rate Card'!A:D,4,FALSE)),"")</f>
        <v/>
      </c>
      <c r="H8" s="16" t="n"/>
      <c r="I8" s="17">
        <f>IF(AND(UPPER(H8)="Y",ISNUMBER(G8)),G8,0)</f>
        <v/>
      </c>
      <c r="J8" s="9" t="n"/>
    </row>
    <row r="9">
      <c r="A9" s="14" t="n"/>
      <c r="B9" s="15">
        <f>IF(A9="","",TEXT(A9,"ddd"))</f>
        <v/>
      </c>
      <c r="C9" s="16" t="n"/>
      <c r="D9" s="9">
        <f>IFERROR(IF(C9="","",VLOOKUP(C9,'Rate Card'!A:D,2,FALSE)),"")</f>
        <v/>
      </c>
      <c r="E9" s="9">
        <f>IFERROR(IF(C9="","",VLOOKUP(C9,'Rate Card'!A:D,3,FALSE)),"")</f>
        <v/>
      </c>
      <c r="F9" s="9" t="n"/>
      <c r="G9" s="17">
        <f>IFERROR(IF(C9="","",VLOOKUP(C9,'Rate Card'!A:D,4,FALSE)),"")</f>
        <v/>
      </c>
      <c r="H9" s="16" t="n"/>
      <c r="I9" s="17">
        <f>IF(AND(UPPER(H9)="Y",ISNUMBER(G9)),G9,0)</f>
        <v/>
      </c>
      <c r="J9" s="9" t="n"/>
    </row>
    <row r="10">
      <c r="A10" s="14" t="n"/>
      <c r="B10" s="15">
        <f>IF(A10="","",TEXT(A10,"ddd"))</f>
        <v/>
      </c>
      <c r="C10" s="16" t="n"/>
      <c r="D10" s="9">
        <f>IFERROR(IF(C10="","",VLOOKUP(C10,'Rate Card'!A:D,2,FALSE)),"")</f>
        <v/>
      </c>
      <c r="E10" s="9">
        <f>IFERROR(IF(C10="","",VLOOKUP(C10,'Rate Card'!A:D,3,FALSE)),"")</f>
        <v/>
      </c>
      <c r="F10" s="9" t="n"/>
      <c r="G10" s="17">
        <f>IFERROR(IF(C10="","",VLOOKUP(C10,'Rate Card'!A:D,4,FALSE)),"")</f>
        <v/>
      </c>
      <c r="H10" s="16" t="n"/>
      <c r="I10" s="17">
        <f>IF(AND(UPPER(H10)="Y",ISNUMBER(G10)),G10,0)</f>
        <v/>
      </c>
      <c r="J10" s="9" t="n"/>
    </row>
    <row r="11">
      <c r="A11" s="14" t="n"/>
      <c r="B11" s="15">
        <f>IF(A11="","",TEXT(A11,"ddd"))</f>
        <v/>
      </c>
      <c r="C11" s="16" t="n"/>
      <c r="D11" s="9">
        <f>IFERROR(IF(C11="","",VLOOKUP(C11,'Rate Card'!A:D,2,FALSE)),"")</f>
        <v/>
      </c>
      <c r="E11" s="9">
        <f>IFERROR(IF(C11="","",VLOOKUP(C11,'Rate Card'!A:D,3,FALSE)),"")</f>
        <v/>
      </c>
      <c r="F11" s="9" t="n"/>
      <c r="G11" s="17">
        <f>IFERROR(IF(C11="","",VLOOKUP(C11,'Rate Card'!A:D,4,FALSE)),"")</f>
        <v/>
      </c>
      <c r="H11" s="16" t="n"/>
      <c r="I11" s="17">
        <f>IF(AND(UPPER(H11)="Y",ISNUMBER(G11)),G11,0)</f>
        <v/>
      </c>
      <c r="J11" s="9" t="n"/>
    </row>
    <row r="12">
      <c r="A12" s="14" t="n"/>
      <c r="B12" s="15">
        <f>IF(A12="","",TEXT(A12,"ddd"))</f>
        <v/>
      </c>
      <c r="C12" s="16" t="n"/>
      <c r="D12" s="9">
        <f>IFERROR(IF(C12="","",VLOOKUP(C12,'Rate Card'!A:D,2,FALSE)),"")</f>
        <v/>
      </c>
      <c r="E12" s="9">
        <f>IFERROR(IF(C12="","",VLOOKUP(C12,'Rate Card'!A:D,3,FALSE)),"")</f>
        <v/>
      </c>
      <c r="F12" s="9" t="n"/>
      <c r="G12" s="17">
        <f>IFERROR(IF(C12="","",VLOOKUP(C12,'Rate Card'!A:D,4,FALSE)),"")</f>
        <v/>
      </c>
      <c r="H12" s="16" t="n"/>
      <c r="I12" s="17">
        <f>IF(AND(UPPER(H12)="Y",ISNUMBER(G12)),G12,0)</f>
        <v/>
      </c>
      <c r="J12" s="9" t="n"/>
    </row>
    <row r="13">
      <c r="A13" s="14" t="n"/>
      <c r="B13" s="15">
        <f>IF(A13="","",TEXT(A13,"ddd"))</f>
        <v/>
      </c>
      <c r="C13" s="16" t="n"/>
      <c r="D13" s="9">
        <f>IFERROR(IF(C13="","",VLOOKUP(C13,'Rate Card'!A:D,2,FALSE)),"")</f>
        <v/>
      </c>
      <c r="E13" s="9">
        <f>IFERROR(IF(C13="","",VLOOKUP(C13,'Rate Card'!A:D,3,FALSE)),"")</f>
        <v/>
      </c>
      <c r="F13" s="9" t="n"/>
      <c r="G13" s="17">
        <f>IFERROR(IF(C13="","",VLOOKUP(C13,'Rate Card'!A:D,4,FALSE)),"")</f>
        <v/>
      </c>
      <c r="H13" s="16" t="n"/>
      <c r="I13" s="17">
        <f>IF(AND(UPPER(H13)="Y",ISNUMBER(G13)),G13,0)</f>
        <v/>
      </c>
      <c r="J13" s="9" t="n"/>
    </row>
    <row r="14">
      <c r="A14" s="14" t="n"/>
      <c r="B14" s="15">
        <f>IF(A14="","",TEXT(A14,"ddd"))</f>
        <v/>
      </c>
      <c r="C14" s="16" t="n"/>
      <c r="D14" s="9">
        <f>IFERROR(IF(C14="","",VLOOKUP(C14,'Rate Card'!A:D,2,FALSE)),"")</f>
        <v/>
      </c>
      <c r="E14" s="9">
        <f>IFERROR(IF(C14="","",VLOOKUP(C14,'Rate Card'!A:D,3,FALSE)),"")</f>
        <v/>
      </c>
      <c r="F14" s="9" t="n"/>
      <c r="G14" s="17">
        <f>IFERROR(IF(C14="","",VLOOKUP(C14,'Rate Card'!A:D,4,FALSE)),"")</f>
        <v/>
      </c>
      <c r="H14" s="16" t="n"/>
      <c r="I14" s="17">
        <f>IF(AND(UPPER(H14)="Y",ISNUMBER(G14)),G14,0)</f>
        <v/>
      </c>
      <c r="J14" s="9" t="n"/>
    </row>
    <row r="15">
      <c r="A15" s="14" t="n"/>
      <c r="B15" s="15">
        <f>IF(A15="","",TEXT(A15,"ddd"))</f>
        <v/>
      </c>
      <c r="C15" s="16" t="n"/>
      <c r="D15" s="9">
        <f>IFERROR(IF(C15="","",VLOOKUP(C15,'Rate Card'!A:D,2,FALSE)),"")</f>
        <v/>
      </c>
      <c r="E15" s="9">
        <f>IFERROR(IF(C15="","",VLOOKUP(C15,'Rate Card'!A:D,3,FALSE)),"")</f>
        <v/>
      </c>
      <c r="F15" s="9" t="n"/>
      <c r="G15" s="17">
        <f>IFERROR(IF(C15="","",VLOOKUP(C15,'Rate Card'!A:D,4,FALSE)),"")</f>
        <v/>
      </c>
      <c r="H15" s="16" t="n"/>
      <c r="I15" s="17">
        <f>IF(AND(UPPER(H15)="Y",ISNUMBER(G15)),G15,0)</f>
        <v/>
      </c>
      <c r="J15" s="9" t="n"/>
    </row>
    <row r="16">
      <c r="A16" s="14" t="n"/>
      <c r="B16" s="15">
        <f>IF(A16="","",TEXT(A16,"ddd"))</f>
        <v/>
      </c>
      <c r="C16" s="16" t="n"/>
      <c r="D16" s="9">
        <f>IFERROR(IF(C16="","",VLOOKUP(C16,'Rate Card'!A:D,2,FALSE)),"")</f>
        <v/>
      </c>
      <c r="E16" s="9">
        <f>IFERROR(IF(C16="","",VLOOKUP(C16,'Rate Card'!A:D,3,FALSE)),"")</f>
        <v/>
      </c>
      <c r="F16" s="9" t="n"/>
      <c r="G16" s="17">
        <f>IFERROR(IF(C16="","",VLOOKUP(C16,'Rate Card'!A:D,4,FALSE)),"")</f>
        <v/>
      </c>
      <c r="H16" s="16" t="n"/>
      <c r="I16" s="17">
        <f>IF(AND(UPPER(H16)="Y",ISNUMBER(G16)),G16,0)</f>
        <v/>
      </c>
      <c r="J16" s="9" t="n"/>
    </row>
    <row r="17">
      <c r="A17" s="14" t="n"/>
      <c r="B17" s="15">
        <f>IF(A17="","",TEXT(A17,"ddd"))</f>
        <v/>
      </c>
      <c r="C17" s="16" t="n"/>
      <c r="D17" s="9">
        <f>IFERROR(IF(C17="","",VLOOKUP(C17,'Rate Card'!A:D,2,FALSE)),"")</f>
        <v/>
      </c>
      <c r="E17" s="9">
        <f>IFERROR(IF(C17="","",VLOOKUP(C17,'Rate Card'!A:D,3,FALSE)),"")</f>
        <v/>
      </c>
      <c r="F17" s="9" t="n"/>
      <c r="G17" s="17">
        <f>IFERROR(IF(C17="","",VLOOKUP(C17,'Rate Card'!A:D,4,FALSE)),"")</f>
        <v/>
      </c>
      <c r="H17" s="16" t="n"/>
      <c r="I17" s="17">
        <f>IF(AND(UPPER(H17)="Y",ISNUMBER(G17)),G17,0)</f>
        <v/>
      </c>
      <c r="J17" s="9" t="n"/>
    </row>
    <row r="18">
      <c r="A18" s="14" t="n"/>
      <c r="B18" s="15">
        <f>IF(A18="","",TEXT(A18,"ddd"))</f>
        <v/>
      </c>
      <c r="C18" s="16" t="n"/>
      <c r="D18" s="9">
        <f>IFERROR(IF(C18="","",VLOOKUP(C18,'Rate Card'!A:D,2,FALSE)),"")</f>
        <v/>
      </c>
      <c r="E18" s="9">
        <f>IFERROR(IF(C18="","",VLOOKUP(C18,'Rate Card'!A:D,3,FALSE)),"")</f>
        <v/>
      </c>
      <c r="F18" s="9" t="n"/>
      <c r="G18" s="17">
        <f>IFERROR(IF(C18="","",VLOOKUP(C18,'Rate Card'!A:D,4,FALSE)),"")</f>
        <v/>
      </c>
      <c r="H18" s="16" t="n"/>
      <c r="I18" s="17">
        <f>IF(AND(UPPER(H18)="Y",ISNUMBER(G18)),G18,0)</f>
        <v/>
      </c>
      <c r="J18" s="9" t="n"/>
    </row>
    <row r="19">
      <c r="A19" s="14" t="n"/>
      <c r="B19" s="15">
        <f>IF(A19="","",TEXT(A19,"ddd"))</f>
        <v/>
      </c>
      <c r="C19" s="16" t="n"/>
      <c r="D19" s="9">
        <f>IFERROR(IF(C19="","",VLOOKUP(C19,'Rate Card'!A:D,2,FALSE)),"")</f>
        <v/>
      </c>
      <c r="E19" s="9">
        <f>IFERROR(IF(C19="","",VLOOKUP(C19,'Rate Card'!A:D,3,FALSE)),"")</f>
        <v/>
      </c>
      <c r="F19" s="9" t="n"/>
      <c r="G19" s="17">
        <f>IFERROR(IF(C19="","",VLOOKUP(C19,'Rate Card'!A:D,4,FALSE)),"")</f>
        <v/>
      </c>
      <c r="H19" s="16" t="n"/>
      <c r="I19" s="17">
        <f>IF(AND(UPPER(H19)="Y",ISNUMBER(G19)),G19,0)</f>
        <v/>
      </c>
      <c r="J19" s="9" t="n"/>
    </row>
    <row r="20">
      <c r="A20" s="14" t="n"/>
      <c r="B20" s="15">
        <f>IF(A20="","",TEXT(A20,"ddd"))</f>
        <v/>
      </c>
      <c r="C20" s="16" t="n"/>
      <c r="D20" s="9">
        <f>IFERROR(IF(C20="","",VLOOKUP(C20,'Rate Card'!A:D,2,FALSE)),"")</f>
        <v/>
      </c>
      <c r="E20" s="9">
        <f>IFERROR(IF(C20="","",VLOOKUP(C20,'Rate Card'!A:D,3,FALSE)),"")</f>
        <v/>
      </c>
      <c r="F20" s="9" t="n"/>
      <c r="G20" s="17">
        <f>IFERROR(IF(C20="","",VLOOKUP(C20,'Rate Card'!A:D,4,FALSE)),"")</f>
        <v/>
      </c>
      <c r="H20" s="16" t="n"/>
      <c r="I20" s="17">
        <f>IF(AND(UPPER(H20)="Y",ISNUMBER(G20)),G20,0)</f>
        <v/>
      </c>
      <c r="J20" s="9" t="n"/>
    </row>
    <row r="21">
      <c r="A21" s="14" t="n"/>
      <c r="B21" s="15">
        <f>IF(A21="","",TEXT(A21,"ddd"))</f>
        <v/>
      </c>
      <c r="C21" s="16" t="n"/>
      <c r="D21" s="9">
        <f>IFERROR(IF(C21="","",VLOOKUP(C21,'Rate Card'!A:D,2,FALSE)),"")</f>
        <v/>
      </c>
      <c r="E21" s="9">
        <f>IFERROR(IF(C21="","",VLOOKUP(C21,'Rate Card'!A:D,3,FALSE)),"")</f>
        <v/>
      </c>
      <c r="F21" s="9" t="n"/>
      <c r="G21" s="17">
        <f>IFERROR(IF(C21="","",VLOOKUP(C21,'Rate Card'!A:D,4,FALSE)),"")</f>
        <v/>
      </c>
      <c r="H21" s="16" t="n"/>
      <c r="I21" s="17">
        <f>IF(AND(UPPER(H21)="Y",ISNUMBER(G21)),G21,0)</f>
        <v/>
      </c>
      <c r="J21" s="9" t="n"/>
    </row>
    <row r="22">
      <c r="A22" s="14" t="n"/>
      <c r="B22" s="15">
        <f>IF(A22="","",TEXT(A22,"ddd"))</f>
        <v/>
      </c>
      <c r="C22" s="16" t="n"/>
      <c r="D22" s="9">
        <f>IFERROR(IF(C22="","",VLOOKUP(C22,'Rate Card'!A:D,2,FALSE)),"")</f>
        <v/>
      </c>
      <c r="E22" s="9">
        <f>IFERROR(IF(C22="","",VLOOKUP(C22,'Rate Card'!A:D,3,FALSE)),"")</f>
        <v/>
      </c>
      <c r="F22" s="9" t="n"/>
      <c r="G22" s="17">
        <f>IFERROR(IF(C22="","",VLOOKUP(C22,'Rate Card'!A:D,4,FALSE)),"")</f>
        <v/>
      </c>
      <c r="H22" s="16" t="n"/>
      <c r="I22" s="17">
        <f>IF(AND(UPPER(H22)="Y",ISNUMBER(G22)),G22,0)</f>
        <v/>
      </c>
      <c r="J22" s="9" t="n"/>
    </row>
    <row r="23">
      <c r="A23" s="14" t="n"/>
      <c r="B23" s="15">
        <f>IF(A23="","",TEXT(A23,"ddd"))</f>
        <v/>
      </c>
      <c r="C23" s="16" t="n"/>
      <c r="D23" s="9">
        <f>IFERROR(IF(C23="","",VLOOKUP(C23,'Rate Card'!A:D,2,FALSE)),"")</f>
        <v/>
      </c>
      <c r="E23" s="9">
        <f>IFERROR(IF(C23="","",VLOOKUP(C23,'Rate Card'!A:D,3,FALSE)),"")</f>
        <v/>
      </c>
      <c r="F23" s="9" t="n"/>
      <c r="G23" s="17">
        <f>IFERROR(IF(C23="","",VLOOKUP(C23,'Rate Card'!A:D,4,FALSE)),"")</f>
        <v/>
      </c>
      <c r="H23" s="16" t="n"/>
      <c r="I23" s="17">
        <f>IF(AND(UPPER(H23)="Y",ISNUMBER(G23)),G23,0)</f>
        <v/>
      </c>
      <c r="J23" s="9" t="n"/>
    </row>
    <row r="24">
      <c r="A24" s="14" t="n"/>
      <c r="B24" s="15">
        <f>IF(A24="","",TEXT(A24,"ddd"))</f>
        <v/>
      </c>
      <c r="C24" s="16" t="n"/>
      <c r="D24" s="9">
        <f>IFERROR(IF(C24="","",VLOOKUP(C24,'Rate Card'!A:D,2,FALSE)),"")</f>
        <v/>
      </c>
      <c r="E24" s="9">
        <f>IFERROR(IF(C24="","",VLOOKUP(C24,'Rate Card'!A:D,3,FALSE)),"")</f>
        <v/>
      </c>
      <c r="F24" s="9" t="n"/>
      <c r="G24" s="17">
        <f>IFERROR(IF(C24="","",VLOOKUP(C24,'Rate Card'!A:D,4,FALSE)),"")</f>
        <v/>
      </c>
      <c r="H24" s="16" t="n"/>
      <c r="I24" s="17">
        <f>IF(AND(UPPER(H24)="Y",ISNUMBER(G24)),G24,0)</f>
        <v/>
      </c>
      <c r="J24" s="9" t="n"/>
    </row>
    <row r="25">
      <c r="A25" s="14" t="n"/>
      <c r="B25" s="15">
        <f>IF(A25="","",TEXT(A25,"ddd"))</f>
        <v/>
      </c>
      <c r="C25" s="16" t="n"/>
      <c r="D25" s="9">
        <f>IFERROR(IF(C25="","",VLOOKUP(C25,'Rate Card'!A:D,2,FALSE)),"")</f>
        <v/>
      </c>
      <c r="E25" s="9">
        <f>IFERROR(IF(C25="","",VLOOKUP(C25,'Rate Card'!A:D,3,FALSE)),"")</f>
        <v/>
      </c>
      <c r="F25" s="9" t="n"/>
      <c r="G25" s="17">
        <f>IFERROR(IF(C25="","",VLOOKUP(C25,'Rate Card'!A:D,4,FALSE)),"")</f>
        <v/>
      </c>
      <c r="H25" s="16" t="n"/>
      <c r="I25" s="17">
        <f>IF(AND(UPPER(H25)="Y",ISNUMBER(G25)),G25,0)</f>
        <v/>
      </c>
      <c r="J25" s="9" t="n"/>
    </row>
    <row r="26">
      <c r="A26" s="14" t="n"/>
      <c r="B26" s="15">
        <f>IF(A26="","",TEXT(A26,"ddd"))</f>
        <v/>
      </c>
      <c r="C26" s="16" t="n"/>
      <c r="D26" s="9">
        <f>IFERROR(IF(C26="","",VLOOKUP(C26,'Rate Card'!A:D,2,FALSE)),"")</f>
        <v/>
      </c>
      <c r="E26" s="9">
        <f>IFERROR(IF(C26="","",VLOOKUP(C26,'Rate Card'!A:D,3,FALSE)),"")</f>
        <v/>
      </c>
      <c r="F26" s="9" t="n"/>
      <c r="G26" s="17">
        <f>IFERROR(IF(C26="","",VLOOKUP(C26,'Rate Card'!A:D,4,FALSE)),"")</f>
        <v/>
      </c>
      <c r="H26" s="16" t="n"/>
      <c r="I26" s="17">
        <f>IF(AND(UPPER(H26)="Y",ISNUMBER(G26)),G26,0)</f>
        <v/>
      </c>
      <c r="J26" s="9" t="n"/>
    </row>
    <row r="27">
      <c r="A27" s="14" t="n"/>
      <c r="B27" s="15">
        <f>IF(A27="","",TEXT(A27,"ddd"))</f>
        <v/>
      </c>
      <c r="C27" s="16" t="n"/>
      <c r="D27" s="9">
        <f>IFERROR(IF(C27="","",VLOOKUP(C27,'Rate Card'!A:D,2,FALSE)),"")</f>
        <v/>
      </c>
      <c r="E27" s="9">
        <f>IFERROR(IF(C27="","",VLOOKUP(C27,'Rate Card'!A:D,3,FALSE)),"")</f>
        <v/>
      </c>
      <c r="F27" s="9" t="n"/>
      <c r="G27" s="17">
        <f>IFERROR(IF(C27="","",VLOOKUP(C27,'Rate Card'!A:D,4,FALSE)),"")</f>
        <v/>
      </c>
      <c r="H27" s="16" t="n"/>
      <c r="I27" s="17">
        <f>IF(AND(UPPER(H27)="Y",ISNUMBER(G27)),G27,0)</f>
        <v/>
      </c>
      <c r="J27" s="9" t="n"/>
    </row>
    <row r="28">
      <c r="A28" s="14" t="n"/>
      <c r="B28" s="15">
        <f>IF(A28="","",TEXT(A28,"ddd"))</f>
        <v/>
      </c>
      <c r="C28" s="16" t="n"/>
      <c r="D28" s="9">
        <f>IFERROR(IF(C28="","",VLOOKUP(C28,'Rate Card'!A:D,2,FALSE)),"")</f>
        <v/>
      </c>
      <c r="E28" s="9">
        <f>IFERROR(IF(C28="","",VLOOKUP(C28,'Rate Card'!A:D,3,FALSE)),"")</f>
        <v/>
      </c>
      <c r="F28" s="9" t="n"/>
      <c r="G28" s="17">
        <f>IFERROR(IF(C28="","",VLOOKUP(C28,'Rate Card'!A:D,4,FALSE)),"")</f>
        <v/>
      </c>
      <c r="H28" s="16" t="n"/>
      <c r="I28" s="17">
        <f>IF(AND(UPPER(H28)="Y",ISNUMBER(G28)),G28,0)</f>
        <v/>
      </c>
      <c r="J28" s="9" t="n"/>
    </row>
    <row r="29">
      <c r="A29" s="14" t="n"/>
      <c r="B29" s="15">
        <f>IF(A29="","",TEXT(A29,"ddd"))</f>
        <v/>
      </c>
      <c r="C29" s="16" t="n"/>
      <c r="D29" s="9">
        <f>IFERROR(IF(C29="","",VLOOKUP(C29,'Rate Card'!A:D,2,FALSE)),"")</f>
        <v/>
      </c>
      <c r="E29" s="9">
        <f>IFERROR(IF(C29="","",VLOOKUP(C29,'Rate Card'!A:D,3,FALSE)),"")</f>
        <v/>
      </c>
      <c r="F29" s="9" t="n"/>
      <c r="G29" s="17">
        <f>IFERROR(IF(C29="","",VLOOKUP(C29,'Rate Card'!A:D,4,FALSE)),"")</f>
        <v/>
      </c>
      <c r="H29" s="16" t="n"/>
      <c r="I29" s="17">
        <f>IF(AND(UPPER(H29)="Y",ISNUMBER(G29)),G29,0)</f>
        <v/>
      </c>
      <c r="J29" s="9" t="n"/>
    </row>
    <row r="30">
      <c r="A30" s="14" t="n"/>
      <c r="B30" s="15">
        <f>IF(A30="","",TEXT(A30,"ddd"))</f>
        <v/>
      </c>
      <c r="C30" s="16" t="n"/>
      <c r="D30" s="9">
        <f>IFERROR(IF(C30="","",VLOOKUP(C30,'Rate Card'!A:D,2,FALSE)),"")</f>
        <v/>
      </c>
      <c r="E30" s="9">
        <f>IFERROR(IF(C30="","",VLOOKUP(C30,'Rate Card'!A:D,3,FALSE)),"")</f>
        <v/>
      </c>
      <c r="F30" s="9" t="n"/>
      <c r="G30" s="17">
        <f>IFERROR(IF(C30="","",VLOOKUP(C30,'Rate Card'!A:D,4,FALSE)),"")</f>
        <v/>
      </c>
      <c r="H30" s="16" t="n"/>
      <c r="I30" s="17">
        <f>IF(AND(UPPER(H30)="Y",ISNUMBER(G30)),G30,0)</f>
        <v/>
      </c>
      <c r="J30" s="9" t="n"/>
    </row>
    <row r="31">
      <c r="A31" s="14" t="n"/>
      <c r="B31" s="15">
        <f>IF(A31="","",TEXT(A31,"ddd"))</f>
        <v/>
      </c>
      <c r="C31" s="16" t="n"/>
      <c r="D31" s="9">
        <f>IFERROR(IF(C31="","",VLOOKUP(C31,'Rate Card'!A:D,2,FALSE)),"")</f>
        <v/>
      </c>
      <c r="E31" s="9">
        <f>IFERROR(IF(C31="","",VLOOKUP(C31,'Rate Card'!A:D,3,FALSE)),"")</f>
        <v/>
      </c>
      <c r="F31" s="9" t="n"/>
      <c r="G31" s="17">
        <f>IFERROR(IF(C31="","",VLOOKUP(C31,'Rate Card'!A:D,4,FALSE)),"")</f>
        <v/>
      </c>
      <c r="H31" s="16" t="n"/>
      <c r="I31" s="17">
        <f>IF(AND(UPPER(H31)="Y",ISNUMBER(G31)),G31,0)</f>
        <v/>
      </c>
      <c r="J31" s="9" t="n"/>
    </row>
    <row r="32">
      <c r="A32" s="14" t="n"/>
      <c r="B32" s="15">
        <f>IF(A32="","",TEXT(A32,"ddd"))</f>
        <v/>
      </c>
      <c r="C32" s="16" t="n"/>
      <c r="D32" s="9">
        <f>IFERROR(IF(C32="","",VLOOKUP(C32,'Rate Card'!A:D,2,FALSE)),"")</f>
        <v/>
      </c>
      <c r="E32" s="9">
        <f>IFERROR(IF(C32="","",VLOOKUP(C32,'Rate Card'!A:D,3,FALSE)),"")</f>
        <v/>
      </c>
      <c r="F32" s="9" t="n"/>
      <c r="G32" s="17">
        <f>IFERROR(IF(C32="","",VLOOKUP(C32,'Rate Card'!A:D,4,FALSE)),"")</f>
        <v/>
      </c>
      <c r="H32" s="16" t="n"/>
      <c r="I32" s="17">
        <f>IF(AND(UPPER(H32)="Y",ISNUMBER(G32)),G32,0)</f>
        <v/>
      </c>
      <c r="J32" s="9" t="n"/>
    </row>
    <row r="33">
      <c r="A33" s="14" t="n"/>
      <c r="B33" s="15">
        <f>IF(A33="","",TEXT(A33,"ddd"))</f>
        <v/>
      </c>
      <c r="C33" s="16" t="n"/>
      <c r="D33" s="9">
        <f>IFERROR(IF(C33="","",VLOOKUP(C33,'Rate Card'!A:D,2,FALSE)),"")</f>
        <v/>
      </c>
      <c r="E33" s="9">
        <f>IFERROR(IF(C33="","",VLOOKUP(C33,'Rate Card'!A:D,3,FALSE)),"")</f>
        <v/>
      </c>
      <c r="F33" s="9" t="n"/>
      <c r="G33" s="17">
        <f>IFERROR(IF(C33="","",VLOOKUP(C33,'Rate Card'!A:D,4,FALSE)),"")</f>
        <v/>
      </c>
      <c r="H33" s="16" t="n"/>
      <c r="I33" s="17">
        <f>IF(AND(UPPER(H33)="Y",ISNUMBER(G33)),G33,0)</f>
        <v/>
      </c>
      <c r="J33" s="9" t="n"/>
    </row>
    <row r="34">
      <c r="A34" s="14" t="n"/>
      <c r="B34" s="15">
        <f>IF(A34="","",TEXT(A34,"ddd"))</f>
        <v/>
      </c>
      <c r="C34" s="16" t="n"/>
      <c r="D34" s="9">
        <f>IFERROR(IF(C34="","",VLOOKUP(C34,'Rate Card'!A:D,2,FALSE)),"")</f>
        <v/>
      </c>
      <c r="E34" s="9">
        <f>IFERROR(IF(C34="","",VLOOKUP(C34,'Rate Card'!A:D,3,FALSE)),"")</f>
        <v/>
      </c>
      <c r="F34" s="9" t="n"/>
      <c r="G34" s="17">
        <f>IFERROR(IF(C34="","",VLOOKUP(C34,'Rate Card'!A:D,4,FALSE)),"")</f>
        <v/>
      </c>
      <c r="H34" s="16" t="n"/>
      <c r="I34" s="17">
        <f>IF(AND(UPPER(H34)="Y",ISNUMBER(G34)),G34,0)</f>
        <v/>
      </c>
      <c r="J34" s="9" t="n"/>
    </row>
    <row r="35">
      <c r="A35" s="14" t="n"/>
      <c r="B35" s="15">
        <f>IF(A35="","",TEXT(A35,"ddd"))</f>
        <v/>
      </c>
      <c r="C35" s="16" t="n"/>
      <c r="D35" s="9">
        <f>IFERROR(IF(C35="","",VLOOKUP(C35,'Rate Card'!A:D,2,FALSE)),"")</f>
        <v/>
      </c>
      <c r="E35" s="9">
        <f>IFERROR(IF(C35="","",VLOOKUP(C35,'Rate Card'!A:D,3,FALSE)),"")</f>
        <v/>
      </c>
      <c r="F35" s="9" t="n"/>
      <c r="G35" s="17">
        <f>IFERROR(IF(C35="","",VLOOKUP(C35,'Rate Card'!A:D,4,FALSE)),"")</f>
        <v/>
      </c>
      <c r="H35" s="16" t="n"/>
      <c r="I35" s="17">
        <f>IF(AND(UPPER(H35)="Y",ISNUMBER(G35)),G35,0)</f>
        <v/>
      </c>
      <c r="J35" s="9" t="n"/>
    </row>
    <row r="36">
      <c r="A36" s="14" t="n"/>
      <c r="B36" s="15">
        <f>IF(A36="","",TEXT(A36,"ddd"))</f>
        <v/>
      </c>
      <c r="C36" s="16" t="n"/>
      <c r="D36" s="9">
        <f>IFERROR(IF(C36="","",VLOOKUP(C36,'Rate Card'!A:D,2,FALSE)),"")</f>
        <v/>
      </c>
      <c r="E36" s="9">
        <f>IFERROR(IF(C36="","",VLOOKUP(C36,'Rate Card'!A:D,3,FALSE)),"")</f>
        <v/>
      </c>
      <c r="F36" s="9" t="n"/>
      <c r="G36" s="17">
        <f>IFERROR(IF(C36="","",VLOOKUP(C36,'Rate Card'!A:D,4,FALSE)),"")</f>
        <v/>
      </c>
      <c r="H36" s="16" t="n"/>
      <c r="I36" s="17">
        <f>IF(AND(UPPER(H36)="Y",ISNUMBER(G36)),G36,0)</f>
        <v/>
      </c>
      <c r="J36" s="9" t="n"/>
    </row>
    <row r="37">
      <c r="A37" s="14" t="n"/>
      <c r="B37" s="15">
        <f>IF(A37="","",TEXT(A37,"ddd"))</f>
        <v/>
      </c>
      <c r="C37" s="16" t="n"/>
      <c r="D37" s="9">
        <f>IFERROR(IF(C37="","",VLOOKUP(C37,'Rate Card'!A:D,2,FALSE)),"")</f>
        <v/>
      </c>
      <c r="E37" s="9">
        <f>IFERROR(IF(C37="","",VLOOKUP(C37,'Rate Card'!A:D,3,FALSE)),"")</f>
        <v/>
      </c>
      <c r="F37" s="9" t="n"/>
      <c r="G37" s="17">
        <f>IFERROR(IF(C37="","",VLOOKUP(C37,'Rate Card'!A:D,4,FALSE)),"")</f>
        <v/>
      </c>
      <c r="H37" s="16" t="n"/>
      <c r="I37" s="17">
        <f>IF(AND(UPPER(H37)="Y",ISNUMBER(G37)),G37,0)</f>
        <v/>
      </c>
      <c r="J37" s="9" t="n"/>
    </row>
    <row r="38">
      <c r="A38" s="14" t="n"/>
      <c r="B38" s="15">
        <f>IF(A38="","",TEXT(A38,"ddd"))</f>
        <v/>
      </c>
      <c r="C38" s="16" t="n"/>
      <c r="D38" s="9">
        <f>IFERROR(IF(C38="","",VLOOKUP(C38,'Rate Card'!A:D,2,FALSE)),"")</f>
        <v/>
      </c>
      <c r="E38" s="9">
        <f>IFERROR(IF(C38="","",VLOOKUP(C38,'Rate Card'!A:D,3,FALSE)),"")</f>
        <v/>
      </c>
      <c r="F38" s="9" t="n"/>
      <c r="G38" s="17">
        <f>IFERROR(IF(C38="","",VLOOKUP(C38,'Rate Card'!A:D,4,FALSE)),"")</f>
        <v/>
      </c>
      <c r="H38" s="16" t="n"/>
      <c r="I38" s="17">
        <f>IF(AND(UPPER(H38)="Y",ISNUMBER(G38)),G38,0)</f>
        <v/>
      </c>
      <c r="J38" s="9" t="n"/>
    </row>
    <row r="39">
      <c r="A39" s="14" t="n"/>
      <c r="B39" s="15">
        <f>IF(A39="","",TEXT(A39,"ddd"))</f>
        <v/>
      </c>
      <c r="C39" s="16" t="n"/>
      <c r="D39" s="9">
        <f>IFERROR(IF(C39="","",VLOOKUP(C39,'Rate Card'!A:D,2,FALSE)),"")</f>
        <v/>
      </c>
      <c r="E39" s="9">
        <f>IFERROR(IF(C39="","",VLOOKUP(C39,'Rate Card'!A:D,3,FALSE)),"")</f>
        <v/>
      </c>
      <c r="F39" s="9" t="n"/>
      <c r="G39" s="17">
        <f>IFERROR(IF(C39="","",VLOOKUP(C39,'Rate Card'!A:D,4,FALSE)),"")</f>
        <v/>
      </c>
      <c r="H39" s="16" t="n"/>
      <c r="I39" s="17">
        <f>IF(AND(UPPER(H39)="Y",ISNUMBER(G39)),G39,0)</f>
        <v/>
      </c>
      <c r="J39" s="9" t="n"/>
    </row>
    <row r="40">
      <c r="A40" s="14" t="n"/>
      <c r="B40" s="15">
        <f>IF(A40="","",TEXT(A40,"ddd"))</f>
        <v/>
      </c>
      <c r="C40" s="16" t="n"/>
      <c r="D40" s="9">
        <f>IFERROR(IF(C40="","",VLOOKUP(C40,'Rate Card'!A:D,2,FALSE)),"")</f>
        <v/>
      </c>
      <c r="E40" s="9">
        <f>IFERROR(IF(C40="","",VLOOKUP(C40,'Rate Card'!A:D,3,FALSE)),"")</f>
        <v/>
      </c>
      <c r="F40" s="9" t="n"/>
      <c r="G40" s="17">
        <f>IFERROR(IF(C40="","",VLOOKUP(C40,'Rate Card'!A:D,4,FALSE)),"")</f>
        <v/>
      </c>
      <c r="H40" s="16" t="n"/>
      <c r="I40" s="17">
        <f>IF(AND(UPPER(H40)="Y",ISNUMBER(G40)),G40,0)</f>
        <v/>
      </c>
      <c r="J40" s="9" t="n"/>
    </row>
    <row r="41">
      <c r="A41" s="14" t="n"/>
      <c r="B41" s="15">
        <f>IF(A41="","",TEXT(A41,"ddd"))</f>
        <v/>
      </c>
      <c r="C41" s="16" t="n"/>
      <c r="D41" s="9">
        <f>IFERROR(IF(C41="","",VLOOKUP(C41,'Rate Card'!A:D,2,FALSE)),"")</f>
        <v/>
      </c>
      <c r="E41" s="9">
        <f>IFERROR(IF(C41="","",VLOOKUP(C41,'Rate Card'!A:D,3,FALSE)),"")</f>
        <v/>
      </c>
      <c r="F41" s="9" t="n"/>
      <c r="G41" s="17">
        <f>IFERROR(IF(C41="","",VLOOKUP(C41,'Rate Card'!A:D,4,FALSE)),"")</f>
        <v/>
      </c>
      <c r="H41" s="16" t="n"/>
      <c r="I41" s="17">
        <f>IF(AND(UPPER(H41)="Y",ISNUMBER(G41)),G41,0)</f>
        <v/>
      </c>
      <c r="J41" s="9" t="n"/>
    </row>
    <row r="42">
      <c r="A42" s="14" t="n"/>
      <c r="B42" s="15">
        <f>IF(A42="","",TEXT(A42,"ddd"))</f>
        <v/>
      </c>
      <c r="C42" s="16" t="n"/>
      <c r="D42" s="9">
        <f>IFERROR(IF(C42="","",VLOOKUP(C42,'Rate Card'!A:D,2,FALSE)),"")</f>
        <v/>
      </c>
      <c r="E42" s="9">
        <f>IFERROR(IF(C42="","",VLOOKUP(C42,'Rate Card'!A:D,3,FALSE)),"")</f>
        <v/>
      </c>
      <c r="F42" s="9" t="n"/>
      <c r="G42" s="17">
        <f>IFERROR(IF(C42="","",VLOOKUP(C42,'Rate Card'!A:D,4,FALSE)),"")</f>
        <v/>
      </c>
      <c r="H42" s="16" t="n"/>
      <c r="I42" s="17">
        <f>IF(AND(UPPER(H42)="Y",ISNUMBER(G42)),G42,0)</f>
        <v/>
      </c>
      <c r="J42" s="9" t="n"/>
    </row>
    <row r="43">
      <c r="A43" s="14" t="n"/>
      <c r="B43" s="15">
        <f>IF(A43="","",TEXT(A43,"ddd"))</f>
        <v/>
      </c>
      <c r="C43" s="16" t="n"/>
      <c r="D43" s="9">
        <f>IFERROR(IF(C43="","",VLOOKUP(C43,'Rate Card'!A:D,2,FALSE)),"")</f>
        <v/>
      </c>
      <c r="E43" s="9">
        <f>IFERROR(IF(C43="","",VLOOKUP(C43,'Rate Card'!A:D,3,FALSE)),"")</f>
        <v/>
      </c>
      <c r="F43" s="9" t="n"/>
      <c r="G43" s="17">
        <f>IFERROR(IF(C43="","",VLOOKUP(C43,'Rate Card'!A:D,4,FALSE)),"")</f>
        <v/>
      </c>
      <c r="H43" s="16" t="n"/>
      <c r="I43" s="17">
        <f>IF(AND(UPPER(H43)="Y",ISNUMBER(G43)),G43,0)</f>
        <v/>
      </c>
      <c r="J43" s="9" t="n"/>
    </row>
    <row r="44">
      <c r="A44" s="14" t="n"/>
      <c r="B44" s="15">
        <f>IF(A44="","",TEXT(A44,"ddd"))</f>
        <v/>
      </c>
      <c r="C44" s="16" t="n"/>
      <c r="D44" s="9">
        <f>IFERROR(IF(C44="","",VLOOKUP(C44,'Rate Card'!A:D,2,FALSE)),"")</f>
        <v/>
      </c>
      <c r="E44" s="9">
        <f>IFERROR(IF(C44="","",VLOOKUP(C44,'Rate Card'!A:D,3,FALSE)),"")</f>
        <v/>
      </c>
      <c r="F44" s="9" t="n"/>
      <c r="G44" s="17">
        <f>IFERROR(IF(C44="","",VLOOKUP(C44,'Rate Card'!A:D,4,FALSE)),"")</f>
        <v/>
      </c>
      <c r="H44" s="16" t="n"/>
      <c r="I44" s="17">
        <f>IF(AND(UPPER(H44)="Y",ISNUMBER(G44)),G44,0)</f>
        <v/>
      </c>
      <c r="J44" s="9" t="n"/>
    </row>
    <row r="45">
      <c r="A45" s="14" t="n"/>
      <c r="B45" s="15">
        <f>IF(A45="","",TEXT(A45,"ddd"))</f>
        <v/>
      </c>
      <c r="C45" s="16" t="n"/>
      <c r="D45" s="9">
        <f>IFERROR(IF(C45="","",VLOOKUP(C45,'Rate Card'!A:D,2,FALSE)),"")</f>
        <v/>
      </c>
      <c r="E45" s="9">
        <f>IFERROR(IF(C45="","",VLOOKUP(C45,'Rate Card'!A:D,3,FALSE)),"")</f>
        <v/>
      </c>
      <c r="F45" s="9" t="n"/>
      <c r="G45" s="17">
        <f>IFERROR(IF(C45="","",VLOOKUP(C45,'Rate Card'!A:D,4,FALSE)),"")</f>
        <v/>
      </c>
      <c r="H45" s="16" t="n"/>
      <c r="I45" s="17">
        <f>IF(AND(UPPER(H45)="Y",ISNUMBER(G45)),G45,0)</f>
        <v/>
      </c>
      <c r="J45" s="9" t="n"/>
    </row>
    <row r="46">
      <c r="A46" s="14" t="n"/>
      <c r="B46" s="15">
        <f>IF(A46="","",TEXT(A46,"ddd"))</f>
        <v/>
      </c>
      <c r="C46" s="16" t="n"/>
      <c r="D46" s="9">
        <f>IFERROR(IF(C46="","",VLOOKUP(C46,'Rate Card'!A:D,2,FALSE)),"")</f>
        <v/>
      </c>
      <c r="E46" s="9">
        <f>IFERROR(IF(C46="","",VLOOKUP(C46,'Rate Card'!A:D,3,FALSE)),"")</f>
        <v/>
      </c>
      <c r="F46" s="9" t="n"/>
      <c r="G46" s="17">
        <f>IFERROR(IF(C46="","",VLOOKUP(C46,'Rate Card'!A:D,4,FALSE)),"")</f>
        <v/>
      </c>
      <c r="H46" s="16" t="n"/>
      <c r="I46" s="17">
        <f>IF(AND(UPPER(H46)="Y",ISNUMBER(G46)),G46,0)</f>
        <v/>
      </c>
      <c r="J46" s="9" t="n"/>
    </row>
    <row r="47">
      <c r="A47" s="14" t="n"/>
      <c r="B47" s="15">
        <f>IF(A47="","",TEXT(A47,"ddd"))</f>
        <v/>
      </c>
      <c r="C47" s="16" t="n"/>
      <c r="D47" s="9">
        <f>IFERROR(IF(C47="","",VLOOKUP(C47,'Rate Card'!A:D,2,FALSE)),"")</f>
        <v/>
      </c>
      <c r="E47" s="9">
        <f>IFERROR(IF(C47="","",VLOOKUP(C47,'Rate Card'!A:D,3,FALSE)),"")</f>
        <v/>
      </c>
      <c r="F47" s="9" t="n"/>
      <c r="G47" s="17">
        <f>IFERROR(IF(C47="","",VLOOKUP(C47,'Rate Card'!A:D,4,FALSE)),"")</f>
        <v/>
      </c>
      <c r="H47" s="16" t="n"/>
      <c r="I47" s="17">
        <f>IF(AND(UPPER(H47)="Y",ISNUMBER(G47)),G47,0)</f>
        <v/>
      </c>
      <c r="J47" s="9" t="n"/>
    </row>
    <row r="48">
      <c r="A48" s="14" t="n"/>
      <c r="B48" s="15">
        <f>IF(A48="","",TEXT(A48,"ddd"))</f>
        <v/>
      </c>
      <c r="C48" s="16" t="n"/>
      <c r="D48" s="9">
        <f>IFERROR(IF(C48="","",VLOOKUP(C48,'Rate Card'!A:D,2,FALSE)),"")</f>
        <v/>
      </c>
      <c r="E48" s="9">
        <f>IFERROR(IF(C48="","",VLOOKUP(C48,'Rate Card'!A:D,3,FALSE)),"")</f>
        <v/>
      </c>
      <c r="F48" s="9" t="n"/>
      <c r="G48" s="17">
        <f>IFERROR(IF(C48="","",VLOOKUP(C48,'Rate Card'!A:D,4,FALSE)),"")</f>
        <v/>
      </c>
      <c r="H48" s="16" t="n"/>
      <c r="I48" s="17">
        <f>IF(AND(UPPER(H48)="Y",ISNUMBER(G48)),G48,0)</f>
        <v/>
      </c>
      <c r="J48" s="9" t="n"/>
    </row>
    <row r="49">
      <c r="A49" s="14" t="n"/>
      <c r="B49" s="15">
        <f>IF(A49="","",TEXT(A49,"ddd"))</f>
        <v/>
      </c>
      <c r="C49" s="16" t="n"/>
      <c r="D49" s="9">
        <f>IFERROR(IF(C49="","",VLOOKUP(C49,'Rate Card'!A:D,2,FALSE)),"")</f>
        <v/>
      </c>
      <c r="E49" s="9">
        <f>IFERROR(IF(C49="","",VLOOKUP(C49,'Rate Card'!A:D,3,FALSE)),"")</f>
        <v/>
      </c>
      <c r="F49" s="9" t="n"/>
      <c r="G49" s="17">
        <f>IFERROR(IF(C49="","",VLOOKUP(C49,'Rate Card'!A:D,4,FALSE)),"")</f>
        <v/>
      </c>
      <c r="H49" s="16" t="n"/>
      <c r="I49" s="17">
        <f>IF(AND(UPPER(H49)="Y",ISNUMBER(G49)),G49,0)</f>
        <v/>
      </c>
      <c r="J49" s="9" t="n"/>
    </row>
    <row r="50">
      <c r="A50" s="14" t="n"/>
      <c r="B50" s="15">
        <f>IF(A50="","",TEXT(A50,"ddd"))</f>
        <v/>
      </c>
      <c r="C50" s="16" t="n"/>
      <c r="D50" s="9">
        <f>IFERROR(IF(C50="","",VLOOKUP(C50,'Rate Card'!A:D,2,FALSE)),"")</f>
        <v/>
      </c>
      <c r="E50" s="9">
        <f>IFERROR(IF(C50="","",VLOOKUP(C50,'Rate Card'!A:D,3,FALSE)),"")</f>
        <v/>
      </c>
      <c r="F50" s="9" t="n"/>
      <c r="G50" s="17">
        <f>IFERROR(IF(C50="","",VLOOKUP(C50,'Rate Card'!A:D,4,FALSE)),"")</f>
        <v/>
      </c>
      <c r="H50" s="16" t="n"/>
      <c r="I50" s="17">
        <f>IF(AND(UPPER(H50)="Y",ISNUMBER(G50)),G50,0)</f>
        <v/>
      </c>
      <c r="J50" s="9" t="n"/>
    </row>
    <row r="51">
      <c r="A51" s="14" t="n"/>
      <c r="B51" s="15">
        <f>IF(A51="","",TEXT(A51,"ddd"))</f>
        <v/>
      </c>
      <c r="C51" s="16" t="n"/>
      <c r="D51" s="9">
        <f>IFERROR(IF(C51="","",VLOOKUP(C51,'Rate Card'!A:D,2,FALSE)),"")</f>
        <v/>
      </c>
      <c r="E51" s="9">
        <f>IFERROR(IF(C51="","",VLOOKUP(C51,'Rate Card'!A:D,3,FALSE)),"")</f>
        <v/>
      </c>
      <c r="F51" s="9" t="n"/>
      <c r="G51" s="17">
        <f>IFERROR(IF(C51="","",VLOOKUP(C51,'Rate Card'!A:D,4,FALSE)),"")</f>
        <v/>
      </c>
      <c r="H51" s="16" t="n"/>
      <c r="I51" s="17">
        <f>IF(AND(UPPER(H51)="Y",ISNUMBER(G51)),G51,0)</f>
        <v/>
      </c>
      <c r="J51" s="9" t="n"/>
    </row>
    <row r="52">
      <c r="A52" s="14" t="n"/>
      <c r="B52" s="15">
        <f>IF(A52="","",TEXT(A52,"ddd"))</f>
        <v/>
      </c>
      <c r="C52" s="16" t="n"/>
      <c r="D52" s="9">
        <f>IFERROR(IF(C52="","",VLOOKUP(C52,'Rate Card'!A:D,2,FALSE)),"")</f>
        <v/>
      </c>
      <c r="E52" s="9">
        <f>IFERROR(IF(C52="","",VLOOKUP(C52,'Rate Card'!A:D,3,FALSE)),"")</f>
        <v/>
      </c>
      <c r="F52" s="9" t="n"/>
      <c r="G52" s="17">
        <f>IFERROR(IF(C52="","",VLOOKUP(C52,'Rate Card'!A:D,4,FALSE)),"")</f>
        <v/>
      </c>
      <c r="H52" s="16" t="n"/>
      <c r="I52" s="17">
        <f>IF(AND(UPPER(H52)="Y",ISNUMBER(G52)),G52,0)</f>
        <v/>
      </c>
      <c r="J52" s="9" t="n"/>
    </row>
    <row r="53">
      <c r="A53" s="14" t="n"/>
      <c r="B53" s="15">
        <f>IF(A53="","",TEXT(A53,"ddd"))</f>
        <v/>
      </c>
      <c r="C53" s="16" t="n"/>
      <c r="D53" s="9">
        <f>IFERROR(IF(C53="","",VLOOKUP(C53,'Rate Card'!A:D,2,FALSE)),"")</f>
        <v/>
      </c>
      <c r="E53" s="9">
        <f>IFERROR(IF(C53="","",VLOOKUP(C53,'Rate Card'!A:D,3,FALSE)),"")</f>
        <v/>
      </c>
      <c r="F53" s="9" t="n"/>
      <c r="G53" s="17">
        <f>IFERROR(IF(C53="","",VLOOKUP(C53,'Rate Card'!A:D,4,FALSE)),"")</f>
        <v/>
      </c>
      <c r="H53" s="16" t="n"/>
      <c r="I53" s="17">
        <f>IF(AND(UPPER(H53)="Y",ISNUMBER(G53)),G53,0)</f>
        <v/>
      </c>
      <c r="J53" s="9" t="n"/>
    </row>
    <row r="54">
      <c r="A54" s="14" t="n"/>
      <c r="B54" s="15">
        <f>IF(A54="","",TEXT(A54,"ddd"))</f>
        <v/>
      </c>
      <c r="C54" s="16" t="n"/>
      <c r="D54" s="9">
        <f>IFERROR(IF(C54="","",VLOOKUP(C54,'Rate Card'!A:D,2,FALSE)),"")</f>
        <v/>
      </c>
      <c r="E54" s="9">
        <f>IFERROR(IF(C54="","",VLOOKUP(C54,'Rate Card'!A:D,3,FALSE)),"")</f>
        <v/>
      </c>
      <c r="F54" s="9" t="n"/>
      <c r="G54" s="17">
        <f>IFERROR(IF(C54="","",VLOOKUP(C54,'Rate Card'!A:D,4,FALSE)),"")</f>
        <v/>
      </c>
      <c r="H54" s="16" t="n"/>
      <c r="I54" s="17">
        <f>IF(AND(UPPER(H54)="Y",ISNUMBER(G54)),G54,0)</f>
        <v/>
      </c>
      <c r="J54" s="9" t="n"/>
    </row>
    <row r="55">
      <c r="A55" s="14" t="n"/>
      <c r="B55" s="15">
        <f>IF(A55="","",TEXT(A55,"ddd"))</f>
        <v/>
      </c>
      <c r="C55" s="16" t="n"/>
      <c r="D55" s="9">
        <f>IFERROR(IF(C55="","",VLOOKUP(C55,'Rate Card'!A:D,2,FALSE)),"")</f>
        <v/>
      </c>
      <c r="E55" s="9">
        <f>IFERROR(IF(C55="","",VLOOKUP(C55,'Rate Card'!A:D,3,FALSE)),"")</f>
        <v/>
      </c>
      <c r="F55" s="9" t="n"/>
      <c r="G55" s="17">
        <f>IFERROR(IF(C55="","",VLOOKUP(C55,'Rate Card'!A:D,4,FALSE)),"")</f>
        <v/>
      </c>
      <c r="H55" s="16" t="n"/>
      <c r="I55" s="17">
        <f>IF(AND(UPPER(H55)="Y",ISNUMBER(G55)),G55,0)</f>
        <v/>
      </c>
      <c r="J55" s="9" t="n"/>
    </row>
    <row r="56">
      <c r="A56" s="14" t="n"/>
      <c r="B56" s="15">
        <f>IF(A56="","",TEXT(A56,"ddd"))</f>
        <v/>
      </c>
      <c r="C56" s="16" t="n"/>
      <c r="D56" s="9">
        <f>IFERROR(IF(C56="","",VLOOKUP(C56,'Rate Card'!A:D,2,FALSE)),"")</f>
        <v/>
      </c>
      <c r="E56" s="9">
        <f>IFERROR(IF(C56="","",VLOOKUP(C56,'Rate Card'!A:D,3,FALSE)),"")</f>
        <v/>
      </c>
      <c r="F56" s="9" t="n"/>
      <c r="G56" s="17">
        <f>IFERROR(IF(C56="","",VLOOKUP(C56,'Rate Card'!A:D,4,FALSE)),"")</f>
        <v/>
      </c>
      <c r="H56" s="16" t="n"/>
      <c r="I56" s="17">
        <f>IF(AND(UPPER(H56)="Y",ISNUMBER(G56)),G56,0)</f>
        <v/>
      </c>
      <c r="J56" s="9" t="n"/>
    </row>
    <row r="57">
      <c r="A57" s="14" t="n"/>
      <c r="B57" s="15">
        <f>IF(A57="","",TEXT(A57,"ddd"))</f>
        <v/>
      </c>
      <c r="C57" s="16" t="n"/>
      <c r="D57" s="9">
        <f>IFERROR(IF(C57="","",VLOOKUP(C57,'Rate Card'!A:D,2,FALSE)),"")</f>
        <v/>
      </c>
      <c r="E57" s="9">
        <f>IFERROR(IF(C57="","",VLOOKUP(C57,'Rate Card'!A:D,3,FALSE)),"")</f>
        <v/>
      </c>
      <c r="F57" s="9" t="n"/>
      <c r="G57" s="17">
        <f>IFERROR(IF(C57="","",VLOOKUP(C57,'Rate Card'!A:D,4,FALSE)),"")</f>
        <v/>
      </c>
      <c r="H57" s="16" t="n"/>
      <c r="I57" s="17">
        <f>IF(AND(UPPER(H57)="Y",ISNUMBER(G57)),G57,0)</f>
        <v/>
      </c>
      <c r="J57" s="9" t="n"/>
    </row>
    <row r="58">
      <c r="A58" s="14" t="n"/>
      <c r="B58" s="15">
        <f>IF(A58="","",TEXT(A58,"ddd"))</f>
        <v/>
      </c>
      <c r="C58" s="16" t="n"/>
      <c r="D58" s="9">
        <f>IFERROR(IF(C58="","",VLOOKUP(C58,'Rate Card'!A:D,2,FALSE)),"")</f>
        <v/>
      </c>
      <c r="E58" s="9">
        <f>IFERROR(IF(C58="","",VLOOKUP(C58,'Rate Card'!A:D,3,FALSE)),"")</f>
        <v/>
      </c>
      <c r="F58" s="9" t="n"/>
      <c r="G58" s="17">
        <f>IFERROR(IF(C58="","",VLOOKUP(C58,'Rate Card'!A:D,4,FALSE)),"")</f>
        <v/>
      </c>
      <c r="H58" s="16" t="n"/>
      <c r="I58" s="17">
        <f>IF(AND(UPPER(H58)="Y",ISNUMBER(G58)),G58,0)</f>
        <v/>
      </c>
      <c r="J58" s="9" t="n"/>
    </row>
    <row r="59">
      <c r="A59" s="14" t="n"/>
      <c r="B59" s="15">
        <f>IF(A59="","",TEXT(A59,"ddd"))</f>
        <v/>
      </c>
      <c r="C59" s="16" t="n"/>
      <c r="D59" s="9">
        <f>IFERROR(IF(C59="","",VLOOKUP(C59,'Rate Card'!A:D,2,FALSE)),"")</f>
        <v/>
      </c>
      <c r="E59" s="9">
        <f>IFERROR(IF(C59="","",VLOOKUP(C59,'Rate Card'!A:D,3,FALSE)),"")</f>
        <v/>
      </c>
      <c r="F59" s="9" t="n"/>
      <c r="G59" s="17">
        <f>IFERROR(IF(C59="","",VLOOKUP(C59,'Rate Card'!A:D,4,FALSE)),"")</f>
        <v/>
      </c>
      <c r="H59" s="16" t="n"/>
      <c r="I59" s="17">
        <f>IF(AND(UPPER(H59)="Y",ISNUMBER(G59)),G59,0)</f>
        <v/>
      </c>
      <c r="J59" s="9" t="n"/>
    </row>
    <row r="60">
      <c r="A60" s="14" t="n"/>
      <c r="B60" s="15">
        <f>IF(A60="","",TEXT(A60,"ddd"))</f>
        <v/>
      </c>
      <c r="C60" s="16" t="n"/>
      <c r="D60" s="9">
        <f>IFERROR(IF(C60="","",VLOOKUP(C60,'Rate Card'!A:D,2,FALSE)),"")</f>
        <v/>
      </c>
      <c r="E60" s="9">
        <f>IFERROR(IF(C60="","",VLOOKUP(C60,'Rate Card'!A:D,3,FALSE)),"")</f>
        <v/>
      </c>
      <c r="F60" s="9" t="n"/>
      <c r="G60" s="17">
        <f>IFERROR(IF(C60="","",VLOOKUP(C60,'Rate Card'!A:D,4,FALSE)),"")</f>
        <v/>
      </c>
      <c r="H60" s="16" t="n"/>
      <c r="I60" s="17">
        <f>IF(AND(UPPER(H60)="Y",ISNUMBER(G60)),G60,0)</f>
        <v/>
      </c>
      <c r="J60" s="9" t="n"/>
    </row>
    <row r="61">
      <c r="A61" s="14" t="n"/>
      <c r="B61" s="15">
        <f>IF(A61="","",TEXT(A61,"ddd"))</f>
        <v/>
      </c>
      <c r="C61" s="16" t="n"/>
      <c r="D61" s="9">
        <f>IFERROR(IF(C61="","",VLOOKUP(C61,'Rate Card'!A:D,2,FALSE)),"")</f>
        <v/>
      </c>
      <c r="E61" s="9">
        <f>IFERROR(IF(C61="","",VLOOKUP(C61,'Rate Card'!A:D,3,FALSE)),"")</f>
        <v/>
      </c>
      <c r="F61" s="9" t="n"/>
      <c r="G61" s="17">
        <f>IFERROR(IF(C61="","",VLOOKUP(C61,'Rate Card'!A:D,4,FALSE)),"")</f>
        <v/>
      </c>
      <c r="H61" s="16" t="n"/>
      <c r="I61" s="17">
        <f>IF(AND(UPPER(H61)="Y",ISNUMBER(G61)),G61,0)</f>
        <v/>
      </c>
      <c r="J61" s="9" t="n"/>
    </row>
    <row r="62">
      <c r="A62" s="14" t="n"/>
      <c r="B62" s="15">
        <f>IF(A62="","",TEXT(A62,"ddd"))</f>
        <v/>
      </c>
      <c r="C62" s="16" t="n"/>
      <c r="D62" s="9">
        <f>IFERROR(IF(C62="","",VLOOKUP(C62,'Rate Card'!A:D,2,FALSE)),"")</f>
        <v/>
      </c>
      <c r="E62" s="9">
        <f>IFERROR(IF(C62="","",VLOOKUP(C62,'Rate Card'!A:D,3,FALSE)),"")</f>
        <v/>
      </c>
      <c r="F62" s="9" t="n"/>
      <c r="G62" s="17">
        <f>IFERROR(IF(C62="","",VLOOKUP(C62,'Rate Card'!A:D,4,FALSE)),"")</f>
        <v/>
      </c>
      <c r="H62" s="16" t="n"/>
      <c r="I62" s="17">
        <f>IF(AND(UPPER(H62)="Y",ISNUMBER(G62)),G62,0)</f>
        <v/>
      </c>
      <c r="J62" s="9" t="n"/>
    </row>
    <row r="63">
      <c r="A63" s="14" t="n"/>
      <c r="B63" s="15">
        <f>IF(A63="","",TEXT(A63,"ddd"))</f>
        <v/>
      </c>
      <c r="C63" s="16" t="n"/>
      <c r="D63" s="9">
        <f>IFERROR(IF(C63="","",VLOOKUP(C63,'Rate Card'!A:D,2,FALSE)),"")</f>
        <v/>
      </c>
      <c r="E63" s="9">
        <f>IFERROR(IF(C63="","",VLOOKUP(C63,'Rate Card'!A:D,3,FALSE)),"")</f>
        <v/>
      </c>
      <c r="F63" s="9" t="n"/>
      <c r="G63" s="17">
        <f>IFERROR(IF(C63="","",VLOOKUP(C63,'Rate Card'!A:D,4,FALSE)),"")</f>
        <v/>
      </c>
      <c r="H63" s="16" t="n"/>
      <c r="I63" s="17">
        <f>IF(AND(UPPER(H63)="Y",ISNUMBER(G63)),G63,0)</f>
        <v/>
      </c>
      <c r="J63" s="9" t="n"/>
    </row>
    <row r="64">
      <c r="A64" s="14" t="n"/>
      <c r="B64" s="15">
        <f>IF(A64="","",TEXT(A64,"ddd"))</f>
        <v/>
      </c>
      <c r="C64" s="16" t="n"/>
      <c r="D64" s="9">
        <f>IFERROR(IF(C64="","",VLOOKUP(C64,'Rate Card'!A:D,2,FALSE)),"")</f>
        <v/>
      </c>
      <c r="E64" s="9">
        <f>IFERROR(IF(C64="","",VLOOKUP(C64,'Rate Card'!A:D,3,FALSE)),"")</f>
        <v/>
      </c>
      <c r="F64" s="9" t="n"/>
      <c r="G64" s="17">
        <f>IFERROR(IF(C64="","",VLOOKUP(C64,'Rate Card'!A:D,4,FALSE)),"")</f>
        <v/>
      </c>
      <c r="H64" s="16" t="n"/>
      <c r="I64" s="17">
        <f>IF(AND(UPPER(H64)="Y",ISNUMBER(G64)),G64,0)</f>
        <v/>
      </c>
      <c r="J64" s="9" t="n"/>
    </row>
    <row r="66">
      <c r="A66" s="18" t="inlineStr">
        <is>
          <t>TOTALS</t>
        </is>
      </c>
      <c r="G66" s="19">
        <f>SUMPRODUCT((G5:G64&lt;&gt;"")*1)</f>
        <v/>
      </c>
      <c r="H66" s="19">
        <f>COUNTIF(H5:H64,"Y")</f>
        <v/>
      </c>
      <c r="I66" s="20">
        <f>SUM(I5:I64)</f>
        <v/>
      </c>
      <c r="J66" s="9" t="inlineStr">
        <is>
          <t>Items submitted | Approved | Total payable</t>
        </is>
      </c>
    </row>
  </sheetData>
  <mergeCells count="2">
    <mergeCell ref="A66:F66"/>
    <mergeCell ref="A1:J1"/>
  </mergeCells>
  <dataValidations count="2">
    <dataValidation sqref="C5:C64" showDropDown="0" showInputMessage="0" showErrorMessage="1" allowBlank="1" errorTitle="Invalid key" error="Pick a key from the Rate Card." type="list">
      <formula1>='Rate Card'!$A$3:$A$11</formula1>
    </dataValidation>
    <dataValidation sqref="H5:H64" showDropDown="0" showInputMessage="0" showErrorMessage="1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</cols>
  <sheetData>
    <row r="1" ht="30" customHeight="1">
      <c r="A1" s="1" t="inlineStr">
        <is>
          <t>Weekly Summary — Director sign-off</t>
        </is>
      </c>
    </row>
    <row r="3" ht="22" customHeight="1">
      <c r="A3" s="7" t="inlineStr">
        <is>
          <t>Week #</t>
        </is>
      </c>
      <c r="B3" s="7" t="inlineStr">
        <is>
          <t>Week Start</t>
        </is>
      </c>
      <c r="C3" s="7" t="inlineStr">
        <is>
          <t>Items Submitted</t>
        </is>
      </c>
      <c r="D3" s="7" t="inlineStr">
        <is>
          <t>Items Approved</t>
        </is>
      </c>
      <c r="E3" s="7" t="inlineStr">
        <is>
          <t>Total Payable £</t>
        </is>
      </c>
      <c r="F3" s="7" t="inlineStr">
        <is>
          <t>Paid Y/N</t>
        </is>
      </c>
    </row>
    <row r="4">
      <c r="A4" s="8" t="inlineStr">
        <is>
          <t>W1</t>
        </is>
      </c>
      <c r="B4" s="21" t="n"/>
      <c r="C4" s="15" t="n"/>
      <c r="D4" s="15" t="n"/>
      <c r="E4" s="10" t="n"/>
      <c r="F4" s="16" t="n"/>
    </row>
    <row r="5">
      <c r="A5" s="8" t="inlineStr">
        <is>
          <t>W2</t>
        </is>
      </c>
      <c r="B5" s="21" t="n"/>
      <c r="C5" s="15" t="n"/>
      <c r="D5" s="15" t="n"/>
      <c r="E5" s="10" t="n"/>
      <c r="F5" s="16" t="n"/>
    </row>
    <row r="6">
      <c r="A6" s="8" t="inlineStr">
        <is>
          <t>W3</t>
        </is>
      </c>
      <c r="B6" s="21" t="n"/>
      <c r="C6" s="15" t="n"/>
      <c r="D6" s="15" t="n"/>
      <c r="E6" s="10" t="n"/>
      <c r="F6" s="16" t="n"/>
    </row>
    <row r="7">
      <c r="A7" s="8" t="inlineStr">
        <is>
          <t>W4</t>
        </is>
      </c>
      <c r="B7" s="21" t="n"/>
      <c r="C7" s="15" t="n"/>
      <c r="D7" s="15" t="n"/>
      <c r="E7" s="10" t="n"/>
      <c r="F7" s="16" t="n"/>
    </row>
    <row r="8">
      <c r="A8" s="8" t="inlineStr">
        <is>
          <t>W5</t>
        </is>
      </c>
      <c r="B8" s="21" t="n"/>
      <c r="C8" s="15" t="n"/>
      <c r="D8" s="15" t="n"/>
      <c r="E8" s="10" t="n"/>
      <c r="F8" s="16" t="n"/>
    </row>
    <row r="9">
      <c r="A9" s="8" t="inlineStr">
        <is>
          <t>W6</t>
        </is>
      </c>
      <c r="B9" s="21" t="n"/>
      <c r="C9" s="15" t="n"/>
      <c r="D9" s="15" t="n"/>
      <c r="E9" s="10" t="n"/>
      <c r="F9" s="16" t="n"/>
    </row>
    <row r="10">
      <c r="A10" s="8" t="inlineStr">
        <is>
          <t>W7</t>
        </is>
      </c>
      <c r="B10" s="21" t="n"/>
      <c r="C10" s="15" t="n"/>
      <c r="D10" s="15" t="n"/>
      <c r="E10" s="10" t="n"/>
      <c r="F10" s="16" t="n"/>
    </row>
    <row r="11">
      <c r="A11" s="8" t="inlineStr">
        <is>
          <t>W8</t>
        </is>
      </c>
      <c r="B11" s="21" t="n"/>
      <c r="C11" s="15" t="n"/>
      <c r="D11" s="15" t="n"/>
      <c r="E11" s="10" t="n"/>
      <c r="F11" s="16" t="n"/>
    </row>
    <row r="12">
      <c r="A12" s="8" t="inlineStr">
        <is>
          <t>W9</t>
        </is>
      </c>
      <c r="B12" s="21" t="n"/>
      <c r="C12" s="15" t="n"/>
      <c r="D12" s="15" t="n"/>
      <c r="E12" s="10" t="n"/>
      <c r="F12" s="16" t="n"/>
    </row>
    <row r="13">
      <c r="A13" s="8" t="inlineStr">
        <is>
          <t>W10</t>
        </is>
      </c>
      <c r="B13" s="21" t="n"/>
      <c r="C13" s="15" t="n"/>
      <c r="D13" s="15" t="n"/>
      <c r="E13" s="10" t="n"/>
      <c r="F13" s="16" t="n"/>
    </row>
    <row r="14">
      <c r="A14" s="8" t="inlineStr">
        <is>
          <t>W11</t>
        </is>
      </c>
      <c r="B14" s="21" t="n"/>
      <c r="C14" s="15" t="n"/>
      <c r="D14" s="15" t="n"/>
      <c r="E14" s="10" t="n"/>
      <c r="F14" s="16" t="n"/>
    </row>
    <row r="15">
      <c r="A15" s="8" t="inlineStr">
        <is>
          <t>W12</t>
        </is>
      </c>
      <c r="B15" s="21" t="n"/>
      <c r="C15" s="15" t="n"/>
      <c r="D15" s="15" t="n"/>
      <c r="E15" s="10" t="n"/>
      <c r="F15" s="16" t="n"/>
    </row>
    <row r="17">
      <c r="A17" s="11" t="inlineStr">
        <is>
          <t>Fill this each Friday after reviewing the Weekly Tracker. Copy totals from the tracker bottom row.</t>
        </is>
      </c>
    </row>
  </sheetData>
  <mergeCells count="2">
    <mergeCell ref="A1:F1"/>
    <mergeCell ref="A17:F17"/>
  </mergeCells>
  <dataValidations count="1">
    <dataValidation sqref="F4:F15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Monthly Roll-up</t>
        </is>
      </c>
    </row>
    <row r="3" ht="22" customHeight="1">
      <c r="A3" s="7" t="inlineStr">
        <is>
          <t>Month</t>
        </is>
      </c>
      <c r="B3" s="7" t="inlineStr">
        <is>
          <t>Weeks Reported</t>
        </is>
      </c>
      <c r="C3" s="7" t="inlineStr">
        <is>
          <t>Items Approved</t>
        </is>
      </c>
      <c r="D3" s="7" t="inlineStr">
        <is>
          <t>Total Paid £</t>
        </is>
      </c>
      <c r="E3" s="7" t="inlineStr">
        <is>
          <t>Avg / Week £</t>
        </is>
      </c>
      <c r="F3" s="7" t="inlineStr">
        <is>
          <t>Notes</t>
        </is>
      </c>
    </row>
    <row r="4">
      <c r="A4" s="8" t="inlineStr">
        <is>
          <t>Month 1</t>
        </is>
      </c>
      <c r="B4" s="16" t="n"/>
      <c r="C4" s="16" t="n"/>
      <c r="D4" s="10" t="n"/>
      <c r="E4" s="17">
        <f>IFERROR(D4/B4,"")</f>
        <v/>
      </c>
      <c r="F4" s="9" t="n"/>
    </row>
    <row r="5">
      <c r="A5" s="8" t="inlineStr">
        <is>
          <t>Month 2</t>
        </is>
      </c>
      <c r="B5" s="16" t="n"/>
      <c r="C5" s="16" t="n"/>
      <c r="D5" s="10" t="n"/>
      <c r="E5" s="17">
        <f>IFERROR(D5/B5,"")</f>
        <v/>
      </c>
      <c r="F5" s="9" t="n"/>
    </row>
    <row r="6">
      <c r="A6" s="8" t="inlineStr">
        <is>
          <t>Month 3</t>
        </is>
      </c>
      <c r="B6" s="16" t="n"/>
      <c r="C6" s="16" t="n"/>
      <c r="D6" s="10" t="n"/>
      <c r="E6" s="17">
        <f>IFERROR(D6/B6,"")</f>
        <v/>
      </c>
      <c r="F6" s="9" t="n"/>
    </row>
    <row r="7">
      <c r="A7" s="8" t="inlineStr">
        <is>
          <t>Month 4</t>
        </is>
      </c>
      <c r="B7" s="16" t="n"/>
      <c r="C7" s="16" t="n"/>
      <c r="D7" s="10" t="n"/>
      <c r="E7" s="17">
        <f>IFERROR(D7/B7,"")</f>
        <v/>
      </c>
      <c r="F7" s="9" t="n"/>
    </row>
    <row r="8">
      <c r="A8" s="8" t="inlineStr">
        <is>
          <t>Month 5</t>
        </is>
      </c>
      <c r="B8" s="16" t="n"/>
      <c r="C8" s="16" t="n"/>
      <c r="D8" s="10" t="n"/>
      <c r="E8" s="17">
        <f>IFERROR(D8/B8,"")</f>
        <v/>
      </c>
      <c r="F8" s="9" t="n"/>
    </row>
    <row r="9">
      <c r="A9" s="8" t="inlineStr">
        <is>
          <t>Month 6</t>
        </is>
      </c>
      <c r="B9" s="16" t="n"/>
      <c r="C9" s="16" t="n"/>
      <c r="D9" s="10" t="n"/>
      <c r="E9" s="17">
        <f>IFERROR(D9/B9,"")</f>
        <v/>
      </c>
      <c r="F9" s="9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2" customWidth="1" min="4" max="4"/>
    <col width="22" customWidth="1" min="5" max="5"/>
    <col width="26" customWidth="1" min="6" max="6"/>
  </cols>
  <sheetData>
    <row r="1" ht="30" customHeight="1">
      <c r="A1" s="1" t="inlineStr">
        <is>
          <t>Links &amp; Credentials</t>
        </is>
      </c>
    </row>
    <row r="2" ht="32" customHeight="1">
      <c r="A2" s="22" t="inlineStr">
        <is>
          <t>DO NOT COMMIT REAL PASSWORDS TO GIT. Use 1Password / Bitwarden for actual credential storage. This template should remain blank in the password column when committed.</t>
        </is>
      </c>
    </row>
    <row r="4" ht="22" customHeight="1">
      <c r="A4" s="23" t="inlineStr">
        <is>
          <t>Public profile links (safe to share)</t>
        </is>
      </c>
    </row>
    <row r="5" ht="22" customHeight="1">
      <c r="A5" s="7" t="inlineStr">
        <is>
          <t>Service</t>
        </is>
      </c>
      <c r="B5" s="7" t="inlineStr">
        <is>
          <t>URL</t>
        </is>
      </c>
      <c r="C5" s="7" t="inlineStr">
        <is>
          <t>Handle / Page name</t>
        </is>
      </c>
      <c r="D5" s="7" t="inlineStr">
        <is>
          <t>Notes</t>
        </is>
      </c>
      <c r="E5" s="7" t="inlineStr">
        <is>
          <t>Owner</t>
        </is>
      </c>
      <c r="F5" s="7" t="inlineStr">
        <is>
          <t>Last Updated</t>
        </is>
      </c>
    </row>
    <row r="6">
      <c r="A6" s="24" t="inlineStr">
        <is>
          <t>2VP Website</t>
        </is>
      </c>
      <c r="B6" s="25" t="n"/>
      <c r="C6" s="25" t="n"/>
      <c r="D6" s="25" t="n"/>
      <c r="E6" s="25" t="n"/>
      <c r="F6" s="25" t="n"/>
    </row>
    <row r="7">
      <c r="A7" s="24" t="inlineStr">
        <is>
          <t>Instagram</t>
        </is>
      </c>
      <c r="B7" s="25" t="n"/>
      <c r="C7" s="25" t="n"/>
      <c r="D7" s="25" t="n"/>
      <c r="E7" s="25" t="n"/>
      <c r="F7" s="25" t="n"/>
    </row>
    <row r="8">
      <c r="A8" s="24" t="inlineStr">
        <is>
          <t>Facebook page</t>
        </is>
      </c>
      <c r="B8" s="25" t="n"/>
      <c r="C8" s="25" t="n"/>
      <c r="D8" s="25" t="n"/>
      <c r="E8" s="25" t="n"/>
      <c r="F8" s="25" t="n"/>
    </row>
    <row r="9">
      <c r="A9" s="24" t="inlineStr">
        <is>
          <t>TikTok</t>
        </is>
      </c>
      <c r="B9" s="25" t="n"/>
      <c r="C9" s="25" t="n"/>
      <c r="D9" s="25" t="n"/>
      <c r="E9" s="25" t="n"/>
      <c r="F9" s="25" t="n"/>
    </row>
    <row r="10">
      <c r="A10" s="24" t="inlineStr">
        <is>
          <t>Google My Business</t>
        </is>
      </c>
      <c r="B10" s="25" t="n"/>
      <c r="C10" s="25" t="n"/>
      <c r="D10" s="25" t="n"/>
      <c r="E10" s="25" t="n"/>
      <c r="F10" s="25" t="n"/>
    </row>
    <row r="11">
      <c r="A11" s="24" t="inlineStr">
        <is>
          <t>YouTube (if any)</t>
        </is>
      </c>
      <c r="B11" s="25" t="n"/>
      <c r="C11" s="25" t="n"/>
      <c r="D11" s="25" t="n"/>
      <c r="E11" s="25" t="n"/>
      <c r="F11" s="25" t="n"/>
    </row>
    <row r="12">
      <c r="A12" s="24" t="inlineStr">
        <is>
          <t>LinkedIn (company)</t>
        </is>
      </c>
      <c r="B12" s="25" t="n"/>
      <c r="C12" s="25" t="n"/>
      <c r="D12" s="25" t="n"/>
      <c r="E12" s="25" t="n"/>
      <c r="F12" s="25" t="n"/>
    </row>
    <row r="15" ht="22" customHeight="1">
      <c r="A15" s="26" t="inlineStr">
        <is>
          <t>Credentials (LEAVE BLANK in committed copy)</t>
        </is>
      </c>
    </row>
    <row r="16" ht="22" customHeight="1">
      <c r="A16" s="7" t="inlineStr">
        <is>
          <t>Service</t>
        </is>
      </c>
      <c r="B16" s="7" t="inlineStr">
        <is>
          <t>Login URL</t>
        </is>
      </c>
      <c r="C16" s="7" t="inlineStr">
        <is>
          <t>Username / Email</t>
        </is>
      </c>
      <c r="D16" s="7" t="inlineStr">
        <is>
          <t>Password</t>
        </is>
      </c>
      <c r="E16" s="7" t="inlineStr">
        <is>
          <t>2FA method</t>
        </is>
      </c>
      <c r="F16" s="7" t="inlineStr">
        <is>
          <t>Last Updated</t>
        </is>
      </c>
    </row>
    <row r="17">
      <c r="A17" s="24" t="inlineStr">
        <is>
          <t>Website admin (WordPress / CMS)</t>
        </is>
      </c>
      <c r="B17" s="25" t="n"/>
      <c r="C17" s="25" t="n"/>
      <c r="D17" s="27" t="inlineStr">
        <is>
          <t>(blank — store in password manager)</t>
        </is>
      </c>
      <c r="E17" s="25" t="n"/>
      <c r="F17" s="28" t="n"/>
    </row>
    <row r="18">
      <c r="A18" s="24" t="inlineStr">
        <is>
          <t>Hosting panel</t>
        </is>
      </c>
      <c r="B18" s="25" t="n"/>
      <c r="C18" s="25" t="n"/>
      <c r="D18" s="27" t="inlineStr">
        <is>
          <t>(blank — store in password manager)</t>
        </is>
      </c>
      <c r="E18" s="25" t="n"/>
      <c r="F18" s="28" t="n"/>
    </row>
    <row r="19">
      <c r="A19" s="24" t="inlineStr">
        <is>
          <t>Domain registrar</t>
        </is>
      </c>
      <c r="B19" s="25" t="n"/>
      <c r="C19" s="25" t="n"/>
      <c r="D19" s="27" t="inlineStr">
        <is>
          <t>(blank — store in password manager)</t>
        </is>
      </c>
      <c r="E19" s="25" t="n"/>
      <c r="F19" s="28" t="n"/>
    </row>
    <row r="20">
      <c r="A20" s="24" t="inlineStr">
        <is>
          <t>Instagram</t>
        </is>
      </c>
      <c r="B20" s="25" t="n"/>
      <c r="C20" s="25" t="n"/>
      <c r="D20" s="27" t="inlineStr">
        <is>
          <t>(blank — store in password manager)</t>
        </is>
      </c>
      <c r="E20" s="25" t="n"/>
      <c r="F20" s="28" t="n"/>
    </row>
    <row r="21">
      <c r="A21" s="24" t="inlineStr">
        <is>
          <t>Facebook page</t>
        </is>
      </c>
      <c r="B21" s="25" t="n"/>
      <c r="C21" s="25" t="n"/>
      <c r="D21" s="27" t="inlineStr">
        <is>
          <t>(blank — store in password manager)</t>
        </is>
      </c>
      <c r="E21" s="25" t="n"/>
      <c r="F21" s="28" t="n"/>
    </row>
    <row r="22">
      <c r="A22" s="24" t="inlineStr">
        <is>
          <t>TikTok</t>
        </is>
      </c>
      <c r="B22" s="25" t="n"/>
      <c r="C22" s="25" t="n"/>
      <c r="D22" s="27" t="inlineStr">
        <is>
          <t>(blank — store in password manager)</t>
        </is>
      </c>
      <c r="E22" s="25" t="n"/>
      <c r="F22" s="28" t="n"/>
    </row>
    <row r="23">
      <c r="A23" s="24" t="inlineStr">
        <is>
          <t>Google My Business</t>
        </is>
      </c>
      <c r="B23" s="25" t="n"/>
      <c r="C23" s="25" t="n"/>
      <c r="D23" s="27" t="inlineStr">
        <is>
          <t>(blank — store in password manager)</t>
        </is>
      </c>
      <c r="E23" s="25" t="n"/>
      <c r="F23" s="28" t="n"/>
    </row>
    <row r="24">
      <c r="A24" s="24" t="inlineStr">
        <is>
          <t>Google Workspace / email</t>
        </is>
      </c>
      <c r="B24" s="25" t="n"/>
      <c r="C24" s="25" t="n"/>
      <c r="D24" s="27" t="inlineStr">
        <is>
          <t>(blank — store in password manager)</t>
        </is>
      </c>
      <c r="E24" s="25" t="n"/>
      <c r="F24" s="28" t="n"/>
    </row>
    <row r="25">
      <c r="A25" s="24" t="inlineStr">
        <is>
          <t>Certatech account</t>
        </is>
      </c>
      <c r="B25" s="25" t="n"/>
      <c r="C25" s="25" t="n"/>
      <c r="D25" s="27" t="inlineStr">
        <is>
          <t>(blank — store in password manager)</t>
        </is>
      </c>
      <c r="E25" s="25" t="n"/>
      <c r="F25" s="28" t="n"/>
    </row>
    <row r="26">
      <c r="A26" s="24" t="inlineStr">
        <is>
          <t>Snap Website account</t>
        </is>
      </c>
      <c r="B26" s="25" t="n"/>
      <c r="C26" s="25" t="n"/>
      <c r="D26" s="27" t="inlineStr">
        <is>
          <t>(blank — store in password manager)</t>
        </is>
      </c>
      <c r="E26" s="25" t="n"/>
      <c r="F26" s="28" t="n"/>
    </row>
    <row r="27">
      <c r="A27" s="24" t="inlineStr">
        <is>
          <t>Ad accounts (Google Ads)</t>
        </is>
      </c>
      <c r="B27" s="25" t="n"/>
      <c r="C27" s="25" t="n"/>
      <c r="D27" s="27" t="inlineStr">
        <is>
          <t>(blank — store in password manager)</t>
        </is>
      </c>
      <c r="E27" s="25" t="n"/>
      <c r="F27" s="28" t="n"/>
    </row>
    <row r="28">
      <c r="A28" s="24" t="inlineStr">
        <is>
          <t>Ad accounts (Meta Ads)</t>
        </is>
      </c>
      <c r="B28" s="25" t="n"/>
      <c r="C28" s="25" t="n"/>
      <c r="D28" s="27" t="inlineStr">
        <is>
          <t>(blank — store in password manager)</t>
        </is>
      </c>
      <c r="E28" s="25" t="n"/>
      <c r="F28" s="28" t="n"/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2026-04-29T15:19:52Z</dcterms:created>
  <dcterms:modified xsi:type="dcterms:W3CDTF">2026-04-29T15:19:52Z</dcterms:modified>
</cp:coreProperties>
</file>